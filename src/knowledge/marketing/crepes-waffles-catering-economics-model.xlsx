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Unit Economics" sheetId="3" state="visible" r:id="rId5"/>
    <sheet name="Monthly P&amp;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<sst xmlns="http://schemas.openxmlformats.org/spreadsheetml/2006/main" count="89" uniqueCount="82">
  <si>
    <t xml:space="preserve">The Crepes &amp; Waffles Bar — Catering Economics Model</t>
  </si>
  <si>
    <t xml:space="preserve">Built for the Catering &amp; Cakes launch. All blue cells with yellow fill are placeholders — replace with your real numbers.</t>
  </si>
  <si>
    <t xml:space="preserve">How to use this workbook</t>
  </si>
  <si>
    <t xml:space="preserve">1. Go to the Assumptions tab. Every yellow/blue cell is a placeholder guess (typical dessert-catering ranges) — overwrite with your chef's real food cost, packaging cost and labor rate.</t>
  </si>
  <si>
    <t xml:space="preserve">2. Go to the Unit Economics tab. Set your real retail prices in the blue Price cells — everything else recalculates.</t>
  </si>
  <si>
    <t xml:space="preserve">3. Go to the Monthly P&amp;L tab to see profit and the 50/50 partner split at 10 / 25 / 50 orders per month, and whether ad spend is covered at each volume.</t>
  </si>
  <si>
    <t xml:space="preserve">Color key</t>
  </si>
  <si>
    <t xml:space="preserve">Blue text on yellow fill = input — edit this</t>
  </si>
  <si>
    <t xml:space="preserve">Black text = formula — do not overwrite, it recalculates automatically</t>
  </si>
  <si>
    <t xml:space="preserve">Green text = pulled from another tab</t>
  </si>
  <si>
    <t xml:space="preserve">Every placeholder number is a typical industry range for a Miami dessert-catering operation, not your actual cost structure. Replace them before trusting the P&amp;L tab.</t>
  </si>
  <si>
    <t xml:space="preserve">Assumptions</t>
  </si>
  <si>
    <t xml:space="preserve">Edit the blue/yellow Value cells with real numbers from you and the chef. Everything else in this workbook reads from here.</t>
  </si>
  <si>
    <t xml:space="preserve">Assumption</t>
  </si>
  <si>
    <t xml:space="preserve">Value</t>
  </si>
  <si>
    <t xml:space="preserve">Notes / Source</t>
  </si>
  <si>
    <t xml:space="preserve">Target food cost %</t>
  </si>
  <si>
    <t xml:space="preserve">Typical dessert-catering range 25-30% of price. PLACEHOLDER — confirm with chef's actual recipe costing.</t>
  </si>
  <si>
    <t xml:space="preserve">Packaging cost — Canape Tray (24pc)</t>
  </si>
  <si>
    <t xml:space="preserve">PLACEHOLDER — box, liners, labels</t>
  </si>
  <si>
    <t xml:space="preserve">Packaging cost — Canape Tray (36pc)</t>
  </si>
  <si>
    <t xml:space="preserve">PLACEHOLDER</t>
  </si>
  <si>
    <t xml:space="preserve">Packaging cost — Canape Tray (48pc)</t>
  </si>
  <si>
    <t xml:space="preserve">Packaging cost — Cake (standard size)</t>
  </si>
  <si>
    <t xml:space="preserve">PLACEHOLDER — cake box + board</t>
  </si>
  <si>
    <t xml:space="preserve">Production labor rate ($/hr)</t>
  </si>
  <si>
    <t xml:space="preserve">PLACEHOLDER — chef/kitchen labor cost</t>
  </si>
  <si>
    <t xml:space="preserve">Labor hours — Canape Tray (24pc)</t>
  </si>
  <si>
    <t xml:space="preserve">PLACEHOLDER — prep + assembly + plating</t>
  </si>
  <si>
    <t xml:space="preserve">Labor hours — Canape Tray (36pc)</t>
  </si>
  <si>
    <t xml:space="preserve">Labor hours — Canape Tray (48pc)</t>
  </si>
  <si>
    <t xml:space="preserve">Labor hours — Cake (standard size)</t>
  </si>
  <si>
    <t xml:space="preserve">Delivery cost per order</t>
  </si>
  <si>
    <t xml:space="preserve">PLACEHOLDER — driver/gas/platform fee; $0 if pickup-only</t>
  </si>
  <si>
    <t xml:space="preserve">Payment processing fee %</t>
  </si>
  <si>
    <t xml:space="preserve">Typical card processing 2.9-3.5%</t>
  </si>
  <si>
    <t xml:space="preserve">Discount / refund allowance %</t>
  </si>
  <si>
    <t xml:space="preserve">PLACEHOLDER — comps, remakes, refunds</t>
  </si>
  <si>
    <t xml:space="preserve">Monthly Google Ads spend</t>
  </si>
  <si>
    <t xml:space="preserve">From crepes-waffles-catering-google-ads.md validation-phase budget</t>
  </si>
  <si>
    <t xml:space="preserve">Monthly Meta/Instagram Ads spend</t>
  </si>
  <si>
    <t xml:space="preserve">From crepes-waffles-catering-social-content.md phase-2 budget</t>
  </si>
  <si>
    <t xml:space="preserve">Other monthly division overhead</t>
  </si>
  <si>
    <t xml:space="preserve">PLACEHOLDER — software, equipment lease, etc. specific to catering</t>
  </si>
  <si>
    <t xml:space="preserve">Profit split — Pau %</t>
  </si>
  <si>
    <t xml:space="preserve">Per crepes-waffles-catering-partnership-terms.md</t>
  </si>
  <si>
    <t xml:space="preserve">Profit split — Chef %</t>
  </si>
  <si>
    <t xml:space="preserve">Unit Economics — per product</t>
  </si>
  <si>
    <t xml:space="preserve">Set your real Price in the blue column. Everything else recalculates from Assumptions.</t>
  </si>
  <si>
    <t xml:space="preserve">Product</t>
  </si>
  <si>
    <t xml:space="preserve">Price</t>
  </si>
  <si>
    <t xml:space="preserve">Food Cost $</t>
  </si>
  <si>
    <t xml:space="preserve">Packaging $</t>
  </si>
  <si>
    <t xml:space="preserve">Labor $</t>
  </si>
  <si>
    <t xml:space="preserve">Delivery $</t>
  </si>
  <si>
    <t xml:space="preserve">Processing Fee $</t>
  </si>
  <si>
    <t xml:space="preserve">Discount Allowance $</t>
  </si>
  <si>
    <t xml:space="preserve">Total Variable Cost $</t>
  </si>
  <si>
    <t xml:space="preserve">Gross Profit $</t>
  </si>
  <si>
    <t xml:space="preserve">Gross Margin %</t>
  </si>
  <si>
    <t xml:space="preserve">Canape Tray — 24pc</t>
  </si>
  <si>
    <t xml:space="preserve">Canape Tray — 36pc</t>
  </si>
  <si>
    <t xml:space="preserve">Canape Tray — 48pc</t>
  </si>
  <si>
    <t xml:space="preserve">Celebration Cake — standard</t>
  </si>
  <si>
    <t xml:space="preserve">Blended average (equal-weighted)</t>
  </si>
  <si>
    <t xml:space="preserve">Blended average assumes equal order mix across the 4 products — adjust Monthly P&amp;L's Avg Order Value manually if your real mix differs.</t>
  </si>
  <si>
    <t xml:space="preserve">Monthly P&amp;L by Volume — Catering &amp; Cakes Division</t>
  </si>
  <si>
    <t xml:space="preserve">Three volume scenarios. Avg Order Value defaults to the blended average from Unit Economics — overwrite in blue if your real order mix differs.</t>
  </si>
  <si>
    <t xml:space="preserve">Metric</t>
  </si>
  <si>
    <t xml:space="preserve">10 orders/mo</t>
  </si>
  <si>
    <t xml:space="preserve">25 orders/mo</t>
  </si>
  <si>
    <t xml:space="preserve">50 orders/mo</t>
  </si>
  <si>
    <t xml:space="preserve">Orders / month</t>
  </si>
  <si>
    <t xml:space="preserve">Avg order value</t>
  </si>
  <si>
    <t xml:space="preserve">Revenue</t>
  </si>
  <si>
    <t xml:space="preserve">Blended gross margin %</t>
  </si>
  <si>
    <t xml:space="preserve">Gross profit (COGS-adjusted)</t>
  </si>
  <si>
    <t xml:space="preserve">Other division overhead</t>
  </si>
  <si>
    <t xml:space="preserve">Distributable profit</t>
  </si>
  <si>
    <t xml:space="preserve">Pau's share (50%)</t>
  </si>
  <si>
    <t xml:space="preserve">Chef's share (50%)</t>
  </si>
  <si>
    <t xml:space="preserve">Distributable profit turns negative if ad spend exceeds gross profit at low volume — that's the breakeven signal to watch during the Google Ads validation phase.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</si>
</sst>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\$#,##0.00"/>
    <numFmt numFmtId="167" formatCode="0"/>
    <numFmt numFmtId="168" formatCode="\$#,##0"/>
    <numFmt numFmtId="169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B3F2A"/>
        <bgColor rgb="FF555555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6B3F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12</v>
      </c>
    </row>
    <row r="4" customFormat="false" ht="15" hidden="false" customHeight="false" outlineLevel="0" collapsed="false">
      <c r="A4" s="5" t="s">
        <v>13</v>
      </c>
      <c r="B4" s="5" t="s">
        <v>14</v>
      </c>
      <c r="C4" s="5" t="s">
        <v>15</v>
      </c>
    </row>
    <row r="5" customFormat="false" ht="15" hidden="false" customHeight="false" outlineLevel="0" collapsed="false">
      <c r="A5" s="6" t="s">
        <v>16</v>
      </c>
      <c r="B5" s="7" t="n">
        <v>0.28</v>
      </c>
      <c r="C5" s="8" t="s">
        <v>17</v>
      </c>
    </row>
    <row r="6" customFormat="false" ht="15" hidden="false" customHeight="false" outlineLevel="0" collapsed="false">
      <c r="A6" s="6" t="s">
        <v>18</v>
      </c>
      <c r="B6" s="9" t="n">
        <v>3</v>
      </c>
      <c r="C6" s="8" t="s">
        <v>19</v>
      </c>
    </row>
    <row r="7" customFormat="false" ht="15" hidden="false" customHeight="false" outlineLevel="0" collapsed="false">
      <c r="A7" s="6" t="s">
        <v>20</v>
      </c>
      <c r="B7" s="9" t="n">
        <v>4</v>
      </c>
      <c r="C7" s="8" t="s">
        <v>21</v>
      </c>
    </row>
    <row r="8" customFormat="false" ht="15" hidden="false" customHeight="false" outlineLevel="0" collapsed="false">
      <c r="A8" s="6" t="s">
        <v>22</v>
      </c>
      <c r="B8" s="9" t="n">
        <v>5</v>
      </c>
      <c r="C8" s="8" t="s">
        <v>21</v>
      </c>
    </row>
    <row r="9" customFormat="false" ht="15" hidden="false" customHeight="false" outlineLevel="0" collapsed="false">
      <c r="A9" s="6" t="s">
        <v>23</v>
      </c>
      <c r="B9" s="9" t="n">
        <v>4</v>
      </c>
      <c r="C9" s="8" t="s">
        <v>24</v>
      </c>
    </row>
    <row r="10" customFormat="false" ht="15" hidden="false" customHeight="false" outlineLevel="0" collapsed="false">
      <c r="A10" s="6" t="s">
        <v>25</v>
      </c>
      <c r="B10" s="9" t="n">
        <v>22</v>
      </c>
      <c r="C10" s="8" t="s">
        <v>26</v>
      </c>
    </row>
    <row r="11" customFormat="false" ht="15" hidden="false" customHeight="false" outlineLevel="0" collapsed="false">
      <c r="A11" s="6" t="s">
        <v>27</v>
      </c>
      <c r="B11" s="9" t="n">
        <v>1</v>
      </c>
      <c r="C11" s="8" t="s">
        <v>28</v>
      </c>
    </row>
    <row r="12" customFormat="false" ht="15" hidden="false" customHeight="false" outlineLevel="0" collapsed="false">
      <c r="A12" s="6" t="s">
        <v>29</v>
      </c>
      <c r="B12" s="9" t="n">
        <v>1.4</v>
      </c>
      <c r="C12" s="8" t="s">
        <v>21</v>
      </c>
    </row>
    <row r="13" customFormat="false" ht="15" hidden="false" customHeight="false" outlineLevel="0" collapsed="false">
      <c r="A13" s="6" t="s">
        <v>30</v>
      </c>
      <c r="B13" s="9" t="n">
        <v>1.8</v>
      </c>
      <c r="C13" s="8" t="s">
        <v>21</v>
      </c>
    </row>
    <row r="14" customFormat="false" ht="15" hidden="false" customHeight="false" outlineLevel="0" collapsed="false">
      <c r="A14" s="6" t="s">
        <v>31</v>
      </c>
      <c r="B14" s="9" t="n">
        <v>1.5</v>
      </c>
      <c r="C14" s="8" t="s">
        <v>21</v>
      </c>
    </row>
    <row r="15" customFormat="false" ht="15" hidden="false" customHeight="false" outlineLevel="0" collapsed="false">
      <c r="A15" s="6" t="s">
        <v>32</v>
      </c>
      <c r="B15" s="9" t="n">
        <v>15</v>
      </c>
      <c r="C15" s="8" t="s">
        <v>33</v>
      </c>
    </row>
    <row r="16" customFormat="false" ht="15" hidden="false" customHeight="false" outlineLevel="0" collapsed="false">
      <c r="A16" s="6" t="s">
        <v>34</v>
      </c>
      <c r="B16" s="7" t="n">
        <v>0.03</v>
      </c>
      <c r="C16" s="8" t="s">
        <v>35</v>
      </c>
    </row>
    <row r="17" customFormat="false" ht="15" hidden="false" customHeight="false" outlineLevel="0" collapsed="false">
      <c r="A17" s="6" t="s">
        <v>36</v>
      </c>
      <c r="B17" s="7" t="n">
        <v>0.01</v>
      </c>
      <c r="C17" s="8" t="s">
        <v>37</v>
      </c>
    </row>
    <row r="18" customFormat="false" ht="15" hidden="false" customHeight="false" outlineLevel="0" collapsed="false">
      <c r="A18" s="6" t="s">
        <v>38</v>
      </c>
      <c r="B18" s="9" t="n">
        <v>1200</v>
      </c>
      <c r="C18" s="8" t="s">
        <v>39</v>
      </c>
    </row>
    <row r="19" customFormat="false" ht="15" hidden="false" customHeight="false" outlineLevel="0" collapsed="false">
      <c r="A19" s="6" t="s">
        <v>40</v>
      </c>
      <c r="B19" s="9" t="n">
        <v>600</v>
      </c>
      <c r="C19" s="8" t="s">
        <v>41</v>
      </c>
    </row>
    <row r="20" customFormat="false" ht="15" hidden="false" customHeight="false" outlineLevel="0" collapsed="false">
      <c r="A20" s="6" t="s">
        <v>42</v>
      </c>
      <c r="B20" s="9" t="n">
        <v>0</v>
      </c>
      <c r="C20" s="8" t="s">
        <v>43</v>
      </c>
    </row>
    <row r="21" customFormat="false" ht="15" hidden="false" customHeight="false" outlineLevel="0" collapsed="false">
      <c r="A21" s="6" t="s">
        <v>44</v>
      </c>
      <c r="B21" s="7" t="n">
        <v>0.5</v>
      </c>
      <c r="C21" s="8" t="s">
        <v>45</v>
      </c>
    </row>
    <row r="22" customFormat="false" ht="15" hidden="false" customHeight="false" outlineLevel="0" collapsed="false">
      <c r="A22" s="6" t="s">
        <v>46</v>
      </c>
      <c r="B22" s="7" t="n">
        <v>0.5</v>
      </c>
      <c r="C22" s="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3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26.85" hidden="false" customHeight="false" outlineLevel="0" collapsed="false">
      <c r="A4" s="5" t="s">
        <v>49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54</v>
      </c>
      <c r="G4" s="5" t="s">
        <v>55</v>
      </c>
      <c r="H4" s="5" t="s">
        <v>56</v>
      </c>
      <c r="I4" s="5" t="s">
        <v>57</v>
      </c>
      <c r="J4" s="5" t="s">
        <v>58</v>
      </c>
      <c r="K4" s="5" t="s">
        <v>59</v>
      </c>
    </row>
    <row r="5" customFormat="false" ht="15" hidden="false" customHeight="false" outlineLevel="0" collapsed="false">
      <c r="A5" s="6" t="s">
        <v>60</v>
      </c>
      <c r="B5" s="9" t="n">
        <v>150</v>
      </c>
      <c r="C5" s="10" t="n">
        <f aca="false">B5*Assumptions!$B$5</f>
        <v>42</v>
      </c>
      <c r="D5" s="10" t="n">
        <f aca="false">Assumptions!$B$6</f>
        <v>3</v>
      </c>
      <c r="E5" s="10" t="n">
        <f aca="false">Assumptions!$B$11*Assumptions!$B$10</f>
        <v>22</v>
      </c>
      <c r="F5" s="10" t="n">
        <f aca="false">Assumptions!$B$15</f>
        <v>15</v>
      </c>
      <c r="G5" s="10" t="n">
        <f aca="false">B5*Assumptions!$B$16</f>
        <v>4.5</v>
      </c>
      <c r="H5" s="10" t="n">
        <f aca="false">B5*Assumptions!$B$17</f>
        <v>1.5</v>
      </c>
      <c r="I5" s="10" t="n">
        <f aca="false">SUM(C5:H5)</f>
        <v>88</v>
      </c>
      <c r="J5" s="10" t="n">
        <f aca="false">B5-I5</f>
        <v>62</v>
      </c>
      <c r="K5" s="11" t="n">
        <f aca="false">IFERROR(J5/B5,0)</f>
        <v>0.413333333333333</v>
      </c>
    </row>
    <row r="6" customFormat="false" ht="15" hidden="false" customHeight="false" outlineLevel="0" collapsed="false">
      <c r="A6" s="6" t="s">
        <v>61</v>
      </c>
      <c r="B6" s="9" t="n">
        <v>210</v>
      </c>
      <c r="C6" s="10" t="n">
        <f aca="false">B6*Assumptions!$B$5</f>
        <v>58.8</v>
      </c>
      <c r="D6" s="10" t="n">
        <f aca="false">Assumptions!$B$7</f>
        <v>4</v>
      </c>
      <c r="E6" s="10" t="n">
        <f aca="false">Assumptions!$B$12*Assumptions!$B$10</f>
        <v>30.8</v>
      </c>
      <c r="F6" s="10" t="n">
        <f aca="false">Assumptions!$B$15</f>
        <v>15</v>
      </c>
      <c r="G6" s="10" t="n">
        <f aca="false">B6*Assumptions!$B$16</f>
        <v>6.3</v>
      </c>
      <c r="H6" s="10" t="n">
        <f aca="false">B6*Assumptions!$B$17</f>
        <v>2.1</v>
      </c>
      <c r="I6" s="10" t="n">
        <f aca="false">SUM(C6:H6)</f>
        <v>117</v>
      </c>
      <c r="J6" s="10" t="n">
        <f aca="false">B6-I6</f>
        <v>93</v>
      </c>
      <c r="K6" s="11" t="n">
        <f aca="false">IFERROR(J6/B6,0)</f>
        <v>0.442857142857143</v>
      </c>
    </row>
    <row r="7" customFormat="false" ht="15" hidden="false" customHeight="false" outlineLevel="0" collapsed="false">
      <c r="A7" s="6" t="s">
        <v>62</v>
      </c>
      <c r="B7" s="9" t="n">
        <v>270</v>
      </c>
      <c r="C7" s="10" t="n">
        <f aca="false">B7*Assumptions!$B$5</f>
        <v>75.6</v>
      </c>
      <c r="D7" s="10" t="n">
        <f aca="false">Assumptions!$B$8</f>
        <v>5</v>
      </c>
      <c r="E7" s="10" t="n">
        <f aca="false">Assumptions!$B$13*Assumptions!$B$10</f>
        <v>39.6</v>
      </c>
      <c r="F7" s="10" t="n">
        <f aca="false">Assumptions!$B$15</f>
        <v>15</v>
      </c>
      <c r="G7" s="10" t="n">
        <f aca="false">B7*Assumptions!$B$16</f>
        <v>8.1</v>
      </c>
      <c r="H7" s="10" t="n">
        <f aca="false">B7*Assumptions!$B$17</f>
        <v>2.7</v>
      </c>
      <c r="I7" s="10" t="n">
        <f aca="false">SUM(C7:H7)</f>
        <v>146</v>
      </c>
      <c r="J7" s="10" t="n">
        <f aca="false">B7-I7</f>
        <v>124</v>
      </c>
      <c r="K7" s="11" t="n">
        <f aca="false">IFERROR(J7/B7,0)</f>
        <v>0.459259259259259</v>
      </c>
    </row>
    <row r="8" customFormat="false" ht="15" hidden="false" customHeight="false" outlineLevel="0" collapsed="false">
      <c r="A8" s="6" t="s">
        <v>63</v>
      </c>
      <c r="B8" s="9" t="n">
        <v>95</v>
      </c>
      <c r="C8" s="10" t="n">
        <f aca="false">B8*Assumptions!$B$5</f>
        <v>26.6</v>
      </c>
      <c r="D8" s="10" t="n">
        <f aca="false">Assumptions!$B$9</f>
        <v>4</v>
      </c>
      <c r="E8" s="10" t="n">
        <f aca="false">Assumptions!$B$14*Assumptions!$B$10</f>
        <v>33</v>
      </c>
      <c r="F8" s="10" t="n">
        <f aca="false">Assumptions!$B$15</f>
        <v>15</v>
      </c>
      <c r="G8" s="10" t="n">
        <f aca="false">B8*Assumptions!$B$16</f>
        <v>2.85</v>
      </c>
      <c r="H8" s="10" t="n">
        <f aca="false">B8*Assumptions!$B$17</f>
        <v>0.95</v>
      </c>
      <c r="I8" s="10" t="n">
        <f aca="false">SUM(C8:H8)</f>
        <v>82.4</v>
      </c>
      <c r="J8" s="10" t="n">
        <f aca="false">B8-I8</f>
        <v>12.6</v>
      </c>
      <c r="K8" s="11" t="n">
        <f aca="false">IFERROR(J8/B8,0)</f>
        <v>0.132631578947368</v>
      </c>
    </row>
    <row r="9" customFormat="false" ht="15" hidden="false" customHeight="false" outlineLevel="0" collapsed="false">
      <c r="A9" s="12" t="s">
        <v>64</v>
      </c>
      <c r="B9" s="13" t="n">
        <f aca="false">AVERAGE(B5:B8)</f>
        <v>181.25</v>
      </c>
      <c r="C9" s="12"/>
      <c r="D9" s="12"/>
      <c r="E9" s="12"/>
      <c r="F9" s="12"/>
      <c r="G9" s="12"/>
      <c r="H9" s="12"/>
      <c r="I9" s="13" t="n">
        <f aca="false">AVERAGE(I5:I8)</f>
        <v>108.35</v>
      </c>
      <c r="J9" s="13" t="n">
        <f aca="false">AVERAGE(J5:J8)</f>
        <v>72.9</v>
      </c>
      <c r="K9" s="14" t="n">
        <f aca="false">AVERAGE(K5:K8)</f>
        <v>0.362020328599276</v>
      </c>
    </row>
    <row r="11" customFormat="false" ht="15" hidden="false" customHeight="false" outlineLevel="0" collapsed="false">
      <c r="A11" s="15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66</v>
      </c>
    </row>
    <row r="2" customFormat="false" ht="15" hidden="false" customHeight="false" outlineLevel="0" collapsed="false">
      <c r="A2" s="2" t="s">
        <v>67</v>
      </c>
    </row>
    <row r="4" customFormat="false" ht="15" hidden="false" customHeight="false" outlineLevel="0" collapsed="false">
      <c r="A4" s="5" t="s">
        <v>68</v>
      </c>
      <c r="B4" s="5" t="s">
        <v>69</v>
      </c>
      <c r="C4" s="5" t="s">
        <v>70</v>
      </c>
      <c r="D4" s="5" t="s">
        <v>71</v>
      </c>
    </row>
    <row r="5" customFormat="false" ht="15" hidden="false" customHeight="false" outlineLevel="0" collapsed="false">
      <c r="A5" s="6" t="s">
        <v>72</v>
      </c>
      <c r="B5" s="16" t="n">
        <v>10</v>
      </c>
      <c r="C5" s="16" t="n">
        <v>25</v>
      </c>
      <c r="D5" s="16" t="n">
        <v>50</v>
      </c>
    </row>
    <row r="6" customFormat="false" ht="15" hidden="false" customHeight="false" outlineLevel="0" collapsed="false">
      <c r="A6" s="6" t="s">
        <v>73</v>
      </c>
      <c r="B6" s="17" t="n">
        <f aca="false">'Unit Economics'!$B$9</f>
        <v>181.25</v>
      </c>
      <c r="C6" s="17" t="n">
        <f aca="false">'Unit Economics'!$B$9</f>
        <v>181.25</v>
      </c>
      <c r="D6" s="17" t="n">
        <f aca="false">'Unit Economics'!$B$9</f>
        <v>181.25</v>
      </c>
    </row>
    <row r="7" customFormat="false" ht="15" hidden="false" customHeight="false" outlineLevel="0" collapsed="false">
      <c r="A7" s="6" t="s">
        <v>74</v>
      </c>
      <c r="B7" s="18" t="n">
        <f aca="false">B5*B6</f>
        <v>1812.5</v>
      </c>
      <c r="C7" s="18" t="n">
        <f aca="false">C5*C6</f>
        <v>4531.25</v>
      </c>
      <c r="D7" s="18" t="n">
        <f aca="false">D5*D6</f>
        <v>9062.5</v>
      </c>
    </row>
    <row r="8" customFormat="false" ht="15" hidden="false" customHeight="false" outlineLevel="0" collapsed="false">
      <c r="A8" s="6" t="s">
        <v>75</v>
      </c>
      <c r="B8" s="19" t="n">
        <f aca="false">'Unit Economics'!$K$9</f>
        <v>0.362020328599276</v>
      </c>
      <c r="C8" s="19" t="n">
        <f aca="false">'Unit Economics'!$K$9</f>
        <v>0.362020328599276</v>
      </c>
      <c r="D8" s="19" t="n">
        <f aca="false">'Unit Economics'!$K$9</f>
        <v>0.362020328599276</v>
      </c>
    </row>
    <row r="9" customFormat="false" ht="15" hidden="false" customHeight="false" outlineLevel="0" collapsed="false">
      <c r="A9" s="6" t="s">
        <v>76</v>
      </c>
      <c r="B9" s="18" t="n">
        <f aca="false">B7*B8</f>
        <v>656.161845586188</v>
      </c>
      <c r="C9" s="18" t="n">
        <f aca="false">C7*C8</f>
        <v>1640.40461396547</v>
      </c>
      <c r="D9" s="18" t="n">
        <f aca="false">D7*D8</f>
        <v>3280.80922793094</v>
      </c>
    </row>
    <row r="10" customFormat="false" ht="15" hidden="false" customHeight="false" outlineLevel="0" collapsed="false">
      <c r="A10" s="6" t="s">
        <v>38</v>
      </c>
      <c r="B10" s="18" t="n">
        <f aca="false">Assumptions!$B$18</f>
        <v>1200</v>
      </c>
      <c r="C10" s="18" t="n">
        <f aca="false">Assumptions!$B$18</f>
        <v>1200</v>
      </c>
      <c r="D10" s="18" t="n">
        <f aca="false">Assumptions!$B$18</f>
        <v>1200</v>
      </c>
    </row>
    <row r="11" customFormat="false" ht="15" hidden="false" customHeight="false" outlineLevel="0" collapsed="false">
      <c r="A11" s="6" t="s">
        <v>40</v>
      </c>
      <c r="B11" s="18" t="n">
        <f aca="false">Assumptions!$B$19</f>
        <v>600</v>
      </c>
      <c r="C11" s="18" t="n">
        <f aca="false">Assumptions!$B$19</f>
        <v>600</v>
      </c>
      <c r="D11" s="18" t="n">
        <f aca="false">Assumptions!$B$19</f>
        <v>600</v>
      </c>
    </row>
    <row r="12" customFormat="false" ht="15" hidden="false" customHeight="false" outlineLevel="0" collapsed="false">
      <c r="A12" s="6" t="s">
        <v>77</v>
      </c>
      <c r="B12" s="18" t="n">
        <f aca="false">Assumptions!$B$20</f>
        <v>0</v>
      </c>
      <c r="C12" s="18" t="n">
        <f aca="false">Assumptions!$B$20</f>
        <v>0</v>
      </c>
      <c r="D12" s="18" t="n">
        <f aca="false">Assumptions!$B$20</f>
        <v>0</v>
      </c>
    </row>
    <row r="13" customFormat="false" ht="15" hidden="false" customHeight="false" outlineLevel="0" collapsed="false">
      <c r="A13" s="6" t="s">
        <v>78</v>
      </c>
      <c r="B13" s="20" t="n">
        <f aca="false">B9-B10-B11-B12</f>
        <v>-1143.83815441381</v>
      </c>
      <c r="C13" s="20" t="n">
        <f aca="false">C9-C10-C11-C12</f>
        <v>-159.595386034531</v>
      </c>
      <c r="D13" s="20" t="n">
        <f aca="false">D9-D10-D11-D12</f>
        <v>1480.80922793094</v>
      </c>
    </row>
    <row r="14" customFormat="false" ht="15" hidden="false" customHeight="false" outlineLevel="0" collapsed="false">
      <c r="A14" s="6" t="s">
        <v>79</v>
      </c>
      <c r="B14" s="21" t="n">
        <f aca="false">B13*Assumptions!$B$21</f>
        <v>-571.919077206906</v>
      </c>
      <c r="C14" s="21" t="n">
        <f aca="false">C13*Assumptions!$B$21</f>
        <v>-79.7976930172654</v>
      </c>
      <c r="D14" s="21" t="n">
        <f aca="false">D13*Assumptions!$B$21</f>
        <v>740.404613965469</v>
      </c>
    </row>
    <row r="15" customFormat="false" ht="15" hidden="false" customHeight="false" outlineLevel="0" collapsed="false">
      <c r="A15" s="6" t="s">
        <v>80</v>
      </c>
      <c r="B15" s="21" t="n">
        <f aca="false">B13*Assumptions!$B$22</f>
        <v>-571.919077206906</v>
      </c>
      <c r="C15" s="21" t="n">
        <f aca="false">C13*Assumptions!$B$22</f>
        <v>-79.7976930172654</v>
      </c>
      <c r="D15" s="21" t="n">
        <f aca="false">D13*Assumptions!$B$22</f>
        <v>740.404613965469</v>
      </c>
    </row>
    <row r="17" customFormat="false" ht="15" hidden="false" customHeight="false" outlineLevel="0" collapsed="false">
      <c r="A17" s="15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2026-08-30T18:01:54Z</dcterms:created>
  <dc:creator>openpyxl</dc:creator>
  <dc:description/>
  <dc:language>en-US</dc:language>
  <cp:lastModifiedBy/>
  <dcterms:modified xsi:type="dcterms:W3CDTF">2026-08-30T18:01:54Z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